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cel files\"/>
    </mc:Choice>
  </mc:AlternateContent>
  <xr:revisionPtr revIDLastSave="0" documentId="13_ncr:1_{B1784194-BA02-48E1-973E-041B81F4E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M24" i="1" l="1"/>
  <c r="G35" i="1"/>
  <c r="M42" i="1"/>
  <c r="M4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M38" i="1"/>
  <c r="H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  <c r="M32" i="1"/>
  <c r="M4" i="1"/>
  <c r="M30" i="1"/>
  <c r="G3" i="1"/>
  <c r="M23" i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M16" i="1"/>
  <c r="M14" i="1"/>
  <c r="M8" i="1"/>
  <c r="M6" i="1"/>
</calcChain>
</file>

<file path=xl/sharedStrings.xml><?xml version="1.0" encoding="utf-8"?>
<sst xmlns="http://schemas.openxmlformats.org/spreadsheetml/2006/main" count="180" uniqueCount="131">
  <si>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</si>
  <si>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</si>
  <si>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</si>
  <si>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</si>
  <si>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</si>
  <si>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</si>
  <si>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</si>
  <si>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</si>
  <si>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</si>
  <si>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</si>
  <si>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</si>
  <si>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</si>
  <si>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</si>
  <si>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</si>
  <si>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</si>
  <si>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</si>
  <si>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</si>
  <si>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</si>
  <si>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</si>
  <si>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</si>
  <si>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</si>
  <si>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</si>
  <si>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</si>
  <si>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</si>
  <si>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</si>
  <si>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</si>
  <si>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</si>
  <si>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</si>
  <si>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</si>
  <si>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</si>
  <si>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</si>
  <si>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</si>
  <si>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</si>
  <si>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</si>
  <si>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</si>
  <si>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</si>
  <si>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</si>
  <si>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</si>
  <si>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</si>
  <si>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</si>
  <si>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</si>
  <si>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</si>
  <si>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</si>
  <si>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</si>
  <si>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</si>
  <si>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</si>
  <si>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</si>
  <si>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</si>
  <si>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</si>
  <si>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</si>
  <si>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</si>
  <si>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</si>
  <si>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</si>
  <si>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</si>
  <si>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</si>
  <si>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</si>
  <si>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</si>
  <si>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</si>
  <si>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</si>
  <si>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</si>
  <si>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</si>
  <si>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</si>
  <si>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</si>
  <si>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</si>
  <si>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</si>
  <si>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</si>
  <si>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</si>
  <si>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</si>
  <si>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</si>
  <si>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</si>
  <si>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</si>
  <si>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</si>
  <si>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</si>
  <si>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</si>
  <si>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</si>
  <si>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</si>
  <si>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</si>
  <si>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</si>
  <si>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</si>
  <si>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</si>
  <si>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</si>
  <si>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</si>
  <si>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</si>
  <si>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</si>
  <si>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</si>
  <si>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</si>
  <si>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</si>
  <si>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</si>
  <si>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</si>
  <si>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</si>
  <si>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</si>
  <si>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</si>
  <si>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</si>
  <si>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</t>
  </si>
  <si>
    <t>SUM</t>
  </si>
  <si>
    <t>Total price of all products</t>
  </si>
  <si>
    <t>How many products exist in the dataset?</t>
  </si>
  <si>
    <t>COUNT</t>
  </si>
  <si>
    <r>
      <rPr>
        <b/>
        <sz val="12"/>
        <color rgb="FF000000"/>
        <rFont val="Arial"/>
        <family val="2"/>
        <scheme val="minor"/>
      </rPr>
      <t xml:space="preserve">Sum, Count, and Average              </t>
    </r>
    <r>
      <rPr>
        <sz val="12"/>
        <color rgb="FF000000"/>
        <rFont val="Arial"/>
        <family val="2"/>
        <scheme val="minor"/>
      </rPr>
      <t xml:space="preserve">                                  </t>
    </r>
  </si>
  <si>
    <t>Average price of the products</t>
  </si>
  <si>
    <r>
      <rPr>
        <b/>
        <sz val="10"/>
        <color rgb="FF000000"/>
        <rFont val="Arial"/>
        <family val="2"/>
        <scheme val="minor"/>
      </rPr>
      <t>AVERAGE</t>
    </r>
    <r>
      <rPr>
        <sz val="10"/>
        <color rgb="FF000000"/>
        <rFont val="Arial"/>
        <family val="2"/>
        <scheme val="minor"/>
      </rPr>
      <t xml:space="preserve"> </t>
    </r>
  </si>
  <si>
    <t>2)</t>
  </si>
  <si>
    <r>
      <rPr>
        <b/>
        <sz val="12"/>
        <color rgb="FF000000"/>
        <rFont val="Arial"/>
        <family val="2"/>
        <scheme val="minor"/>
      </rPr>
      <t>Minimum and Maximum</t>
    </r>
    <r>
      <rPr>
        <sz val="12"/>
        <color rgb="FF000000"/>
        <rFont val="Arial"/>
        <family val="2"/>
        <scheme val="minor"/>
      </rPr>
      <t xml:space="preserve">                   </t>
    </r>
  </si>
  <si>
    <t xml:space="preserve">MAX </t>
  </si>
  <si>
    <t xml:space="preserve">MIN </t>
  </si>
  <si>
    <t>Minimum price of the products</t>
  </si>
  <si>
    <t>Maximum price of the products</t>
  </si>
  <si>
    <t>3)</t>
  </si>
  <si>
    <r>
      <rPr>
        <b/>
        <sz val="12"/>
        <color rgb="FF000000"/>
        <rFont val="Arial"/>
        <family val="2"/>
        <scheme val="minor"/>
      </rPr>
      <t>Logical Function – IF</t>
    </r>
    <r>
      <rPr>
        <sz val="12"/>
        <color rgb="FF000000"/>
        <rFont val="Arial"/>
        <family val="2"/>
        <scheme val="minor"/>
      </rPr>
      <t xml:space="preserve">    </t>
    </r>
  </si>
  <si>
    <t>Price Range</t>
  </si>
  <si>
    <t>IF PRICE ≥ $500</t>
  </si>
  <si>
    <t xml:space="preserve">IF Price &lt; $500 </t>
  </si>
  <si>
    <t>4)</t>
  </si>
  <si>
    <r>
      <rPr>
        <b/>
        <sz val="12"/>
        <color rgb="FF000000"/>
        <rFont val="Arial"/>
        <family val="2"/>
        <scheme val="minor"/>
      </rPr>
      <t xml:space="preserve">Conditional Functions – SUMIF and COUNTIF     </t>
    </r>
    <r>
      <rPr>
        <sz val="12"/>
        <color rgb="FF000000"/>
        <rFont val="Arial"/>
        <family val="2"/>
        <scheme val="minor"/>
      </rPr>
      <t xml:space="preserve">                                  </t>
    </r>
  </si>
  <si>
    <t>SUMIF</t>
  </si>
  <si>
    <t>COUNTIF</t>
  </si>
  <si>
    <t>5)</t>
  </si>
  <si>
    <r>
      <rPr>
        <b/>
        <sz val="12"/>
        <color rgb="FF000000"/>
        <rFont val="Arial"/>
        <family val="2"/>
        <scheme val="minor"/>
      </rPr>
      <t>Text Formatting – LEFT, RIGHT, MID</t>
    </r>
    <r>
      <rPr>
        <sz val="12"/>
        <color rgb="FF000000"/>
        <rFont val="Arial"/>
        <family val="2"/>
        <scheme val="minor"/>
      </rPr>
      <t xml:space="preserve">                       </t>
    </r>
  </si>
  <si>
    <t>LEFT</t>
  </si>
  <si>
    <t>RIGHT</t>
  </si>
  <si>
    <t>MID</t>
  </si>
  <si>
    <r>
      <t xml:space="preserve">Create a new column named </t>
    </r>
    <r>
      <rPr>
        <b/>
        <sz val="12"/>
        <color rgb="FF000000"/>
        <rFont val="Arial"/>
        <family val="2"/>
        <scheme val="minor"/>
      </rPr>
      <t>Day</t>
    </r>
  </si>
  <si>
    <r>
      <t xml:space="preserve">Create a new column named </t>
    </r>
    <r>
      <rPr>
        <b/>
        <sz val="12"/>
        <color rgb="FF000000"/>
        <rFont val="Arial"/>
        <family val="2"/>
        <scheme val="minor"/>
      </rPr>
      <t>Month</t>
    </r>
  </si>
  <si>
    <r>
      <t xml:space="preserve">Create a new column named </t>
    </r>
    <r>
      <rPr>
        <b/>
        <sz val="12"/>
        <color rgb="FF000000"/>
        <rFont val="Arial"/>
        <family val="2"/>
        <scheme val="minor"/>
      </rPr>
      <t>Country Code</t>
    </r>
  </si>
  <si>
    <t>DAY</t>
  </si>
  <si>
    <t xml:space="preserve">MONTH </t>
  </si>
  <si>
    <t>COUNTRY CODE</t>
  </si>
  <si>
    <r>
      <t xml:space="preserve">Total Price of products in the </t>
    </r>
    <r>
      <rPr>
        <b/>
        <sz val="12"/>
        <color rgb="FF000000"/>
        <rFont val="Arial"/>
        <family val="2"/>
        <scheme val="minor"/>
      </rPr>
      <t>Electronics</t>
    </r>
    <r>
      <rPr>
        <sz val="12"/>
        <color rgb="FF000000"/>
        <rFont val="Arial"/>
        <family val="2"/>
        <scheme val="minor"/>
      </rPr>
      <t xml:space="preserve"> Category.</t>
    </r>
  </si>
  <si>
    <r>
      <t xml:space="preserve">IF function IF Price </t>
    </r>
    <r>
      <rPr>
        <b/>
        <sz val="12"/>
        <color rgb="FF000000"/>
        <rFont val="Arial"/>
        <family val="2"/>
        <scheme val="minor"/>
      </rPr>
      <t xml:space="preserve">≥ </t>
    </r>
    <r>
      <rPr>
        <sz val="12"/>
        <color rgb="FF000000"/>
        <rFont val="Arial"/>
        <family val="2"/>
        <scheme val="minor"/>
      </rPr>
      <t>$500 → High Price</t>
    </r>
  </si>
  <si>
    <r>
      <t xml:space="preserve">IF Price </t>
    </r>
    <r>
      <rPr>
        <b/>
        <sz val="12"/>
        <color rgb="FF000000"/>
        <rFont val="Arial"/>
        <family val="2"/>
        <scheme val="minor"/>
      </rPr>
      <t xml:space="preserve">&lt; </t>
    </r>
    <r>
      <rPr>
        <sz val="12"/>
        <color rgb="FF000000"/>
        <rFont val="Arial"/>
        <family val="2"/>
        <scheme val="minor"/>
      </rPr>
      <t>$500 → Standard Price</t>
    </r>
  </si>
  <si>
    <r>
      <t xml:space="preserve">Number of products with a price </t>
    </r>
    <r>
      <rPr>
        <b/>
        <sz val="12"/>
        <color rgb="FF000000"/>
        <rFont val="Arial"/>
        <family val="2"/>
        <scheme val="minor"/>
      </rPr>
      <t>less than $100</t>
    </r>
    <r>
      <rPr>
        <sz val="12"/>
        <color rgb="FF000000"/>
        <rFont val="Arial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</si>
</sst>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000000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indent="3"/>
    </xf>
    <xf numFmtId="0" fontId="0" fillId="0" borderId="0" xfId="0" applyAlignment="1">
      <alignment horizontal="left"/>
    </xf>
    <xf numFmtId="0" fontId="6" fillId="5" borderId="0" xfId="0" applyFont="1" applyFill="1"/>
    <xf numFmtId="0" fontId="9" fillId="4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4" borderId="0" xfId="0" applyFont="1" applyFill="1" applyAlignment="1">
      <alignment horizontal="center" wrapText="1"/>
    </xf>
    <xf numFmtId="0" fontId="0" fillId="6" borderId="0" xfId="0" applyFill="1" applyAlignment="1">
      <alignment horizontal="center"/>
    </xf>
    <xf numFmtId="164" fontId="0" fillId="6" borderId="0" xfId="1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topLeftCell="A7" zoomScale="70" zoomScaleNormal="70" workbookViewId="0">
      <selection activeCell="L31" sqref="L31"/>
    </sheetView>
  </sheetViews>
  <sheetFormatPr defaultColWidth="12.6640625" defaultRowHeight="15" customHeight="1" x14ac:dyDescent="0.25"/>
  <cols>
    <col min="2" max="2" width="16.33203125" bestFit="1" customWidth="1"/>
    <col min="3" max="3" width="14.21875" bestFit="1" customWidth="1"/>
    <col min="4" max="4" width="10.6640625" bestFit="1" customWidth="1"/>
    <col min="5" max="5" width="10" bestFit="1" customWidth="1"/>
    <col min="6" max="6" width="11.77734375" customWidth="1"/>
    <col min="7" max="7" width="14.21875" bestFit="1" customWidth="1"/>
    <col min="10" max="10" width="19.33203125" bestFit="1" customWidth="1"/>
    <col min="12" max="12" width="55" customWidth="1"/>
    <col min="13" max="13" width="51.88671875" bestFit="1" customWidth="1"/>
  </cols>
  <sheetData>
    <row r="1" spans="1:13" ht="15.7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109</v>
      </c>
      <c r="H1" s="1" t="s">
        <v>124</v>
      </c>
      <c r="I1" s="1" t="s">
        <v>125</v>
      </c>
      <c r="J1" s="1" t="s">
        <v>126</v>
      </c>
      <c r="L1" s="8" t="s">
        <v>93</v>
      </c>
      <c r="M1" s="9" t="s">
        <v>98</v>
      </c>
    </row>
    <row r="2" spans="1:13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IF(D2&gt;=500,"High Price","Standard price")</f>
        <v>High Price</v>
      </c>
      <c r="H2" s="2" t="str">
        <f>LEFT(A2,2)</f>
        <v>28</v>
      </c>
      <c r="I2" s="2" t="str">
        <f>MID(A2,4,3)</f>
        <v>JAN</v>
      </c>
      <c r="J2" s="2" t="str">
        <f>RIGHT(A2,2)</f>
        <v>US</v>
      </c>
      <c r="L2" s="5"/>
      <c r="M2" s="6"/>
    </row>
    <row r="3" spans="1:13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 t="str">
        <f>M24</f>
        <v>Standard price</v>
      </c>
      <c r="H3" s="3" t="str">
        <f>LEFT(A3,2)</f>
        <v>15</v>
      </c>
      <c r="I3" s="3" t="str">
        <f t="shared" ref="I3:I35" si="0">MID(A3,4,3)</f>
        <v>FEB</v>
      </c>
      <c r="J3" s="3" t="str">
        <f t="shared" ref="J3:J35" si="1">RIGHT(A3,2)</f>
        <v>US</v>
      </c>
      <c r="L3" s="7" t="s">
        <v>95</v>
      </c>
    </row>
    <row r="4" spans="1:13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ref="G4:G34" si="2">IF(D4&gt;=500,"High Price","Standard price")</f>
        <v>Standard price</v>
      </c>
      <c r="H4" s="2" t="str">
        <f t="shared" ref="H4:H35" si="3">LEFT(A4,2)</f>
        <v>03</v>
      </c>
      <c r="I4" s="2" t="str">
        <f t="shared" si="0"/>
        <v>MAR</v>
      </c>
      <c r="J4" s="2" t="str">
        <f t="shared" si="1"/>
        <v>US</v>
      </c>
      <c r="L4" s="14" t="s">
        <v>94</v>
      </c>
      <c r="M4" s="12">
        <f>SUM(D2:D35)</f>
        <v>10100</v>
      </c>
    </row>
    <row r="5" spans="1:13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 t="str">
        <f t="shared" si="2"/>
        <v>High Price</v>
      </c>
      <c r="H5" s="3" t="str">
        <f t="shared" si="3"/>
        <v>11</v>
      </c>
      <c r="I5" s="3" t="str">
        <f t="shared" si="0"/>
        <v>APR</v>
      </c>
      <c r="J5" s="3" t="str">
        <f t="shared" si="1"/>
        <v>US</v>
      </c>
      <c r="L5" s="7" t="s">
        <v>96</v>
      </c>
    </row>
    <row r="6" spans="1:13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2"/>
        <v>Standard price</v>
      </c>
      <c r="H6" s="2" t="str">
        <f t="shared" si="3"/>
        <v>22</v>
      </c>
      <c r="I6" s="2" t="str">
        <f t="shared" si="0"/>
        <v>MAY</v>
      </c>
      <c r="J6" s="2" t="str">
        <f t="shared" si="1"/>
        <v>US</v>
      </c>
      <c r="L6" s="14" t="s">
        <v>97</v>
      </c>
      <c r="M6" s="12">
        <f>COUNTA(B2:B35)</f>
        <v>34</v>
      </c>
    </row>
    <row r="7" spans="1:13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 t="str">
        <f t="shared" si="2"/>
        <v>Standard price</v>
      </c>
      <c r="H7" s="3" t="str">
        <f t="shared" si="3"/>
        <v>07</v>
      </c>
      <c r="I7" s="3" t="str">
        <f t="shared" si="0"/>
        <v>JUN</v>
      </c>
      <c r="J7" s="3" t="str">
        <f t="shared" si="1"/>
        <v>UK</v>
      </c>
      <c r="L7" s="7" t="s">
        <v>99</v>
      </c>
    </row>
    <row r="8" spans="1:13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2"/>
        <v>Standard price</v>
      </c>
      <c r="H8" s="2" t="str">
        <f t="shared" si="3"/>
        <v>19</v>
      </c>
      <c r="I8" s="2" t="str">
        <f t="shared" si="0"/>
        <v>JUL</v>
      </c>
      <c r="J8" s="2" t="str">
        <f t="shared" si="1"/>
        <v>UK</v>
      </c>
      <c r="L8" s="15" t="s">
        <v>100</v>
      </c>
      <c r="M8" s="13">
        <f>AVERAGE(D2:D35)</f>
        <v>297.05882352941177</v>
      </c>
    </row>
    <row r="9" spans="1:13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 t="str">
        <f t="shared" si="2"/>
        <v>Standard price</v>
      </c>
      <c r="H9" s="3" t="str">
        <f t="shared" si="3"/>
        <v>23</v>
      </c>
      <c r="I9" s="3" t="str">
        <f t="shared" si="0"/>
        <v>AUG</v>
      </c>
      <c r="J9" s="3" t="str">
        <f t="shared" si="1"/>
        <v>UK</v>
      </c>
    </row>
    <row r="10" spans="1:13" ht="15.75" customHeight="1" thickBot="1" x14ac:dyDescent="0.3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2"/>
        <v>High Price</v>
      </c>
      <c r="H10" s="2" t="str">
        <f t="shared" si="3"/>
        <v>05</v>
      </c>
      <c r="I10" s="2" t="str">
        <f t="shared" si="0"/>
        <v>SEP</v>
      </c>
      <c r="J10" s="2" t="str">
        <f t="shared" si="1"/>
        <v>UK</v>
      </c>
    </row>
    <row r="11" spans="1:13" ht="15.75" customHeight="1" thickBot="1" x14ac:dyDescent="0.3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 t="str">
        <f t="shared" si="2"/>
        <v>Standard price</v>
      </c>
      <c r="H11" s="3" t="str">
        <f t="shared" si="3"/>
        <v>14</v>
      </c>
      <c r="I11" s="3" t="str">
        <f t="shared" si="0"/>
        <v>OCT</v>
      </c>
      <c r="J11" s="3" t="str">
        <f t="shared" si="1"/>
        <v>UK</v>
      </c>
      <c r="L11" s="8" t="s">
        <v>101</v>
      </c>
      <c r="M11" s="9" t="s">
        <v>102</v>
      </c>
    </row>
    <row r="12" spans="1:13" ht="15.75" customHeigh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2"/>
        <v>High Price</v>
      </c>
      <c r="H12" s="2" t="str">
        <f t="shared" si="3"/>
        <v>17</v>
      </c>
      <c r="I12" s="2" t="str">
        <f t="shared" si="0"/>
        <v>JUN</v>
      </c>
      <c r="J12" s="2" t="str">
        <f t="shared" si="1"/>
        <v>IN</v>
      </c>
    </row>
    <row r="13" spans="1:13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 t="str">
        <f t="shared" si="2"/>
        <v>Standard price</v>
      </c>
      <c r="H13" s="3" t="str">
        <f t="shared" si="3"/>
        <v>25</v>
      </c>
      <c r="I13" s="3" t="str">
        <f t="shared" si="0"/>
        <v>NOV</v>
      </c>
      <c r="J13" s="3" t="str">
        <f t="shared" si="1"/>
        <v>AU</v>
      </c>
      <c r="L13" s="7" t="s">
        <v>106</v>
      </c>
    </row>
    <row r="14" spans="1:13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2"/>
        <v>Standard price</v>
      </c>
      <c r="H14" s="2" t="str">
        <f t="shared" si="3"/>
        <v>08</v>
      </c>
      <c r="I14" s="2" t="str">
        <f t="shared" si="0"/>
        <v>DEC</v>
      </c>
      <c r="J14" s="2" t="str">
        <f t="shared" si="1"/>
        <v>DE</v>
      </c>
      <c r="L14" s="14" t="s">
        <v>103</v>
      </c>
      <c r="M14" s="12">
        <f>MAX(D2:D35)</f>
        <v>1000</v>
      </c>
    </row>
    <row r="15" spans="1:13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 t="str">
        <f t="shared" si="2"/>
        <v>Standard price</v>
      </c>
      <c r="H15" s="3" t="str">
        <f t="shared" si="3"/>
        <v>18</v>
      </c>
      <c r="I15" s="3" t="str">
        <f t="shared" si="0"/>
        <v>FEB</v>
      </c>
      <c r="J15" s="3" t="str">
        <f t="shared" si="1"/>
        <v>CA</v>
      </c>
      <c r="L15" s="7" t="s">
        <v>105</v>
      </c>
    </row>
    <row r="16" spans="1:13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2"/>
        <v>Standard price</v>
      </c>
      <c r="H16" s="2" t="str">
        <f t="shared" si="3"/>
        <v>16</v>
      </c>
      <c r="I16" s="2" t="str">
        <f t="shared" si="0"/>
        <v>APR</v>
      </c>
      <c r="J16" s="2" t="str">
        <f t="shared" si="1"/>
        <v>ES</v>
      </c>
      <c r="L16" s="14" t="s">
        <v>104</v>
      </c>
      <c r="M16" s="12">
        <f>MIN(D2:D35)</f>
        <v>30</v>
      </c>
    </row>
    <row r="17" spans="1:13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 t="str">
        <f t="shared" si="2"/>
        <v>Standard price</v>
      </c>
      <c r="H17" s="3" t="str">
        <f t="shared" si="3"/>
        <v>21</v>
      </c>
      <c r="I17" s="3" t="str">
        <f t="shared" si="0"/>
        <v>AUG</v>
      </c>
      <c r="J17" s="3" t="str">
        <f t="shared" si="1"/>
        <v>CA</v>
      </c>
    </row>
    <row r="18" spans="1:13" ht="15.75" customHeight="1" thickBot="1" x14ac:dyDescent="0.3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2"/>
        <v>Standard price</v>
      </c>
      <c r="H18" s="2" t="str">
        <f t="shared" si="3"/>
        <v>20</v>
      </c>
      <c r="I18" s="2" t="str">
        <f t="shared" si="0"/>
        <v>AUG</v>
      </c>
      <c r="J18" s="2" t="str">
        <f t="shared" si="1"/>
        <v>CN</v>
      </c>
    </row>
    <row r="19" spans="1:13" ht="15.75" customHeight="1" thickBot="1" x14ac:dyDescent="0.3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 t="str">
        <f t="shared" si="2"/>
        <v>High Price</v>
      </c>
      <c r="H19" s="3" t="str">
        <f t="shared" si="3"/>
        <v>27</v>
      </c>
      <c r="I19" s="3" t="str">
        <f t="shared" si="0"/>
        <v>JAN</v>
      </c>
      <c r="J19" s="3" t="str">
        <f t="shared" si="1"/>
        <v>IT</v>
      </c>
      <c r="L19" s="8" t="s">
        <v>107</v>
      </c>
      <c r="M19" s="9" t="s">
        <v>108</v>
      </c>
    </row>
    <row r="20" spans="1:13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2"/>
        <v>Standard price</v>
      </c>
      <c r="H20" s="2" t="str">
        <f t="shared" si="3"/>
        <v>01</v>
      </c>
      <c r="I20" s="2" t="str">
        <f t="shared" si="0"/>
        <v>MAR</v>
      </c>
      <c r="J20" s="2" t="str">
        <f t="shared" si="1"/>
        <v>UK</v>
      </c>
    </row>
    <row r="21" spans="1:13" ht="15.75" customHeight="1" x14ac:dyDescent="0.3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 t="str">
        <f t="shared" si="2"/>
        <v>Standard price</v>
      </c>
      <c r="H21" s="3" t="str">
        <f t="shared" si="3"/>
        <v>14</v>
      </c>
      <c r="I21" s="3" t="str">
        <f t="shared" si="0"/>
        <v>AUG</v>
      </c>
      <c r="J21" s="3" t="str">
        <f t="shared" si="1"/>
        <v>US</v>
      </c>
      <c r="L21" s="7" t="s">
        <v>128</v>
      </c>
    </row>
    <row r="22" spans="1:13" ht="15.75" customHeight="1" x14ac:dyDescent="0.3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10" t="s">
        <v>9</v>
      </c>
      <c r="G22" s="10" t="str">
        <f t="shared" si="2"/>
        <v>High Price</v>
      </c>
      <c r="H22" s="10" t="str">
        <f t="shared" si="3"/>
        <v>14</v>
      </c>
      <c r="I22" s="10" t="str">
        <f t="shared" si="0"/>
        <v>MAY</v>
      </c>
      <c r="J22" s="10" t="str">
        <f t="shared" si="1"/>
        <v>RU</v>
      </c>
      <c r="L22" s="7" t="s">
        <v>129</v>
      </c>
    </row>
    <row r="23" spans="1:13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 t="str">
        <f t="shared" si="2"/>
        <v>Standard price</v>
      </c>
      <c r="H23" s="3" t="str">
        <f t="shared" si="3"/>
        <v>09</v>
      </c>
      <c r="I23" s="3" t="str">
        <f t="shared" si="0"/>
        <v>JAN</v>
      </c>
      <c r="J23" s="3" t="str">
        <f t="shared" si="1"/>
        <v>CA</v>
      </c>
      <c r="L23" s="14" t="s">
        <v>110</v>
      </c>
      <c r="M23" s="12" t="str">
        <f>IF(D2&gt;=500,"High Price","Standard price")</f>
        <v>High Price</v>
      </c>
    </row>
    <row r="24" spans="1:13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2"/>
        <v>Standard price</v>
      </c>
      <c r="H24" s="2" t="str">
        <f t="shared" si="3"/>
        <v>19</v>
      </c>
      <c r="I24" s="2" t="str">
        <f t="shared" si="0"/>
        <v>JUL</v>
      </c>
      <c r="J24" s="2" t="str">
        <f t="shared" si="1"/>
        <v>BR</v>
      </c>
      <c r="L24" s="14" t="s">
        <v>111</v>
      </c>
      <c r="M24" s="12" t="str">
        <f>IF(D35&lt;500,"Standard price","High Price")</f>
        <v>Standard price</v>
      </c>
    </row>
    <row r="25" spans="1:13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 t="str">
        <f t="shared" si="2"/>
        <v>Standard price</v>
      </c>
      <c r="H25" s="3" t="str">
        <f t="shared" si="3"/>
        <v>21</v>
      </c>
      <c r="I25" s="3" t="str">
        <f t="shared" si="0"/>
        <v>AUG</v>
      </c>
      <c r="J25" s="3" t="str">
        <f t="shared" si="1"/>
        <v>CA</v>
      </c>
    </row>
    <row r="26" spans="1:13" ht="15.75" customHeight="1" thickBot="1" x14ac:dyDescent="0.3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2"/>
        <v>High Price</v>
      </c>
      <c r="H26" s="2" t="str">
        <f t="shared" si="3"/>
        <v>29</v>
      </c>
      <c r="I26" s="2" t="str">
        <f t="shared" si="0"/>
        <v>SEP</v>
      </c>
      <c r="J26" s="2" t="str">
        <f t="shared" si="1"/>
        <v>CA</v>
      </c>
    </row>
    <row r="27" spans="1:13" ht="15.75" customHeight="1" thickBot="1" x14ac:dyDescent="0.3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 t="str">
        <f t="shared" si="2"/>
        <v>Standard price</v>
      </c>
      <c r="H27" s="3" t="str">
        <f t="shared" si="3"/>
        <v>03</v>
      </c>
      <c r="I27" s="3" t="str">
        <f t="shared" si="0"/>
        <v>JUN</v>
      </c>
      <c r="J27" s="3" t="str">
        <f t="shared" si="1"/>
        <v>CA</v>
      </c>
      <c r="L27" s="8" t="s">
        <v>112</v>
      </c>
      <c r="M27" s="11" t="s">
        <v>113</v>
      </c>
    </row>
    <row r="28" spans="1:13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2"/>
        <v>Standard price</v>
      </c>
      <c r="H28" s="2" t="str">
        <f t="shared" si="3"/>
        <v>11</v>
      </c>
      <c r="I28" s="2" t="str">
        <f t="shared" si="0"/>
        <v>JUL</v>
      </c>
      <c r="J28" s="2" t="str">
        <f t="shared" si="1"/>
        <v>CA</v>
      </c>
    </row>
    <row r="29" spans="1:13" ht="15.75" customHeight="1" x14ac:dyDescent="0.3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 t="str">
        <f t="shared" si="2"/>
        <v>Standard price</v>
      </c>
      <c r="H29" s="3" t="str">
        <f t="shared" si="3"/>
        <v>16</v>
      </c>
      <c r="I29" s="3" t="str">
        <f t="shared" si="0"/>
        <v>APR</v>
      </c>
      <c r="J29" s="3" t="str">
        <f t="shared" si="1"/>
        <v>ES</v>
      </c>
      <c r="L29" s="7" t="s">
        <v>127</v>
      </c>
    </row>
    <row r="30" spans="1:13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2"/>
        <v>Standard price</v>
      </c>
      <c r="H30" s="2" t="str">
        <f t="shared" si="3"/>
        <v>07</v>
      </c>
      <c r="I30" s="2" t="str">
        <f t="shared" si="0"/>
        <v>MAR</v>
      </c>
      <c r="J30" s="2" t="str">
        <f t="shared" si="1"/>
        <v>CA</v>
      </c>
      <c r="L30" s="14" t="s">
        <v>114</v>
      </c>
      <c r="M30" s="12">
        <f>SUMIF(F2:F35,"Electronics",D2:D35)</f>
        <v>8050</v>
      </c>
    </row>
    <row r="31" spans="1:13" ht="15.75" customHeight="1" x14ac:dyDescent="0.3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 t="str">
        <f t="shared" si="2"/>
        <v>Standard price</v>
      </c>
      <c r="H31" s="3" t="str">
        <f t="shared" si="3"/>
        <v>13</v>
      </c>
      <c r="I31" s="3" t="str">
        <f t="shared" si="0"/>
        <v>APR</v>
      </c>
      <c r="J31" s="3" t="str">
        <f t="shared" si="1"/>
        <v>CA</v>
      </c>
      <c r="L31" s="7" t="s">
        <v>130</v>
      </c>
    </row>
    <row r="32" spans="1:13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2"/>
        <v>Standard price</v>
      </c>
      <c r="H32" s="2" t="str">
        <f t="shared" si="3"/>
        <v>24</v>
      </c>
      <c r="I32" s="2" t="str">
        <f t="shared" si="0"/>
        <v>MAY</v>
      </c>
      <c r="J32" s="2" t="str">
        <f t="shared" si="1"/>
        <v>CA</v>
      </c>
      <c r="L32" s="14" t="s">
        <v>115</v>
      </c>
      <c r="M32" s="12">
        <f>COUNTIF(D2:D35,"&lt;100")</f>
        <v>11</v>
      </c>
    </row>
    <row r="33" spans="1:13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 t="str">
        <f t="shared" si="2"/>
        <v>Standard price</v>
      </c>
      <c r="H33" s="3" t="str">
        <f t="shared" si="3"/>
        <v>02</v>
      </c>
      <c r="I33" s="3" t="str">
        <f t="shared" si="0"/>
        <v>DEC</v>
      </c>
      <c r="J33" s="3" t="str">
        <f t="shared" si="1"/>
        <v>CA</v>
      </c>
    </row>
    <row r="34" spans="1:13" ht="15.75" customHeight="1" thickBot="1" x14ac:dyDescent="0.3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2"/>
        <v>High Price</v>
      </c>
      <c r="H34" s="2" t="str">
        <f t="shared" si="3"/>
        <v>17</v>
      </c>
      <c r="I34" s="2" t="str">
        <f t="shared" si="0"/>
        <v>JUN</v>
      </c>
      <c r="J34" s="2" t="str">
        <f t="shared" si="1"/>
        <v>IN</v>
      </c>
    </row>
    <row r="35" spans="1:13" ht="15.75" customHeight="1" thickBot="1" x14ac:dyDescent="0.3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 t="str">
        <f>IF(D35&lt;500,"Standard price","High Price")</f>
        <v>Standard price</v>
      </c>
      <c r="H35" s="3" t="str">
        <f t="shared" si="3"/>
        <v>09</v>
      </c>
      <c r="I35" s="3" t="str">
        <f t="shared" si="0"/>
        <v>JUL</v>
      </c>
      <c r="J35" s="3" t="str">
        <f t="shared" si="1"/>
        <v>FR</v>
      </c>
      <c r="L35" s="8" t="s">
        <v>116</v>
      </c>
      <c r="M35" s="9" t="s">
        <v>117</v>
      </c>
    </row>
    <row r="36" spans="1:13" ht="15.75" customHeight="1" x14ac:dyDescent="0.25">
      <c r="A36" s="4"/>
    </row>
    <row r="37" spans="1:13" ht="15.75" customHeight="1" x14ac:dyDescent="0.3">
      <c r="L37" s="7" t="s">
        <v>121</v>
      </c>
    </row>
    <row r="38" spans="1:13" ht="15.75" customHeight="1" x14ac:dyDescent="0.25">
      <c r="L38" s="14" t="s">
        <v>118</v>
      </c>
      <c r="M38" s="12" t="str">
        <f>LEFT(A2,2)</f>
        <v>28</v>
      </c>
    </row>
    <row r="39" spans="1:13" ht="15.75" customHeight="1" x14ac:dyDescent="0.3">
      <c r="L39" s="7" t="s">
        <v>122</v>
      </c>
    </row>
    <row r="40" spans="1:13" ht="15.75" customHeight="1" x14ac:dyDescent="0.25">
      <c r="L40" s="14" t="s">
        <v>120</v>
      </c>
      <c r="M40" s="12" t="str">
        <f>MID(A2,4,3)</f>
        <v>JAN</v>
      </c>
    </row>
    <row r="41" spans="1:13" ht="15.75" customHeight="1" x14ac:dyDescent="0.3">
      <c r="L41" s="7" t="s">
        <v>123</v>
      </c>
    </row>
    <row r="42" spans="1:13" ht="15.75" customHeight="1" x14ac:dyDescent="0.25">
      <c r="L42" s="14" t="s">
        <v>119</v>
      </c>
      <c r="M42" s="12" t="str">
        <f>RIGHT(A2,2)</f>
        <v>US</v>
      </c>
    </row>
    <row r="43" spans="1:13" ht="15.75" customHeight="1" x14ac:dyDescent="0.25"/>
    <row r="44" spans="1:13" ht="15.75" customHeight="1" x14ac:dyDescent="0.25"/>
    <row r="45" spans="1:13" ht="15.75" customHeight="1" x14ac:dyDescent="0.25"/>
    <row r="46" spans="1:13" ht="15.75" customHeight="1" x14ac:dyDescent="0.25"/>
    <row r="47" spans="1:13" ht="15.75" customHeight="1" x14ac:dyDescent="0.25"/>
    <row r="48" spans="1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VENKADESH K</dc:creator>
  <cp:lastModifiedBy>VENKADESH K</cp:lastModifiedBy>
  <dcterms:created xsi:type="dcterms:W3CDTF">2026-07-01T17:52:32Z</dcterms:created>
  <dcterms:modified xsi:type="dcterms:W3CDTF">2026-07-01T19:24:30Z</dcterms:modified>
</cp:coreProperties>
</file>